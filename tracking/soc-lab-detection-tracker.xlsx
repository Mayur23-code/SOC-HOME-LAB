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 Log" sheetId="1" r:id="rId5"/>
    <sheet state="visible" name="MITRE Coverage" sheetId="2" r:id="rId6"/>
    <sheet state="visible" name="IOCs" sheetId="3" r:id="rId7"/>
    <sheet state="visible" name="Detection Gaps" sheetId="4" r:id="rId8"/>
  </sheets>
  <definedNames/>
  <calcPr/>
</workbook>
</file>

<file path=xl/sharedStrings.xml><?xml version="1.0" encoding="utf-8"?>
<sst xmlns="http://schemas.openxmlformats.org/spreadsheetml/2006/main" count="212" uniqueCount="164">
  <si>
    <t>MITRE ATT&amp;CK Coverage Matrix</t>
  </si>
  <si>
    <t>Tactics (columns) x techniques exercised in this lab. Color = detection status, not technique risk.</t>
  </si>
  <si>
    <t>Technique / Sub-technique</t>
  </si>
  <si>
    <t>Initial Access</t>
  </si>
  <si>
    <t>Execution</t>
  </si>
  <si>
    <t>Detection Gaps &amp; Lessons Learned</t>
  </si>
  <si>
    <t>Persistence</t>
  </si>
  <si>
    <t>Privilege Escalation</t>
  </si>
  <si>
    <t>Lateral Movement</t>
  </si>
  <si>
    <t>Collection</t>
  </si>
  <si>
    <t>Exfiltration</t>
  </si>
  <si>
    <t>T1566.001
Phishing: Spearphishing Attachment</t>
  </si>
  <si>
    <t>The most important section for interviews — be specific about what failed and how you fixed it.</t>
  </si>
  <si>
    <t>Indicators of Compromise</t>
  </si>
  <si>
    <t>DETECTED</t>
  </si>
  <si>
    <t>T1059.001
Command &amp; Scripting Interpreter: PowerShell</t>
  </si>
  <si>
    <t>NOT TESTED</t>
  </si>
  <si>
    <t>Type</t>
  </si>
  <si>
    <t>T1547.001
Boot/Logon Autostart: Registry Run Key</t>
  </si>
  <si>
    <t>SOC Home Lab — Attack Detection Log</t>
  </si>
  <si>
    <t>Stage</t>
  </si>
  <si>
    <t>RULE WRITTEN</t>
  </si>
  <si>
    <t>What Failed</t>
  </si>
  <si>
    <t>Root Cause</t>
  </si>
  <si>
    <t>Fix Applied</t>
  </si>
  <si>
    <t>T1548.002
Abuse Elevation Control: Bypass UAC</t>
  </si>
  <si>
    <t>T1021.002
Remote Services: SMB/Windows Admin Shares</t>
  </si>
  <si>
    <t>1 - Initial Access</t>
  </si>
  <si>
    <t>T1560
Archive Collected Data</t>
  </si>
  <si>
    <t>Value</t>
  </si>
  <si>
    <t>Phishing → Execution → Persistence → Lateral Movement → Exfiltration | Wazuh + Snort/pfSense</t>
  </si>
  <si>
    <t>T1041
Exfiltration Over C2 Channel</t>
  </si>
  <si>
    <t>Related Stage</t>
  </si>
  <si>
    <t>Rule 100010 did not fire on mshta.exe execution</t>
  </si>
  <si>
    <t>First Observed</t>
  </si>
  <si>
    <t>Regex typo: (?!) (empty negative lookahead, always fails) instead of (?i) case-insensitive flag. Valid PCRE2 syntax, so no load error — just silently matched nothing.</t>
  </si>
  <si>
    <t>Legend</t>
  </si>
  <si>
    <t>Corrected regex, validated with 'wazuh-analysisd -t' and 'wazuh-logtest' before restarting wazuh-manager</t>
  </si>
  <si>
    <t>Notes</t>
  </si>
  <si>
    <t>1-initial Access</t>
  </si>
  <si>
    <t>IP Address</t>
  </si>
  <si>
    <t>Snort has predefined Rulesets for detection called ETOpen but it didnt detect</t>
  </si>
  <si>
    <t>Live-tested: attack executed, alert confirmed in Wazuh dashboard</t>
  </si>
  <si>
    <t>Log #</t>
  </si>
  <si>
    <t>ET Open’s default policy targets known malware/exploit-kit signatures, not generic suspicious-extension-over-HTTP patterns — this is an expected coverage limitation, not a misconfiguration</t>
  </si>
  <si>
    <t>Wrote a custom rule (sid:1000001) matching .hta in HTTP URI to close this detection gap</t>
  </si>
  <si>
    <t>192.168.2.8</t>
  </si>
  <si>
    <t>1-Infra/Detection Visibility</t>
  </si>
  <si>
    <t>Snort on LAN interface saw 0 traffic between Kali and Windows VM</t>
  </si>
  <si>
    <t>Custom rule authored, not yet triggered/validated end-to-end</t>
  </si>
  <si>
    <t>Kali and Windows were on same Internal network(intnet) network never really passed through PFSense firewall at all</t>
  </si>
  <si>
    <t>Resegmented LAB into two subnets (LAN 192.168.1.0/24),OPT1 192.168.2.0/24 with PFsense routing between them forcing all Kali,&lt;-&gt; windows traffic through the firewall so Snort could generate alerts</t>
  </si>
  <si>
    <t>GAP</t>
  </si>
  <si>
    <t>2 - Persistence</t>
  </si>
  <si>
    <t>No detection rule exists yet for this technique</t>
  </si>
  <si>
    <t>Custom rule 100011 never fired despite correct group name, field name, and regex (all independently verified against raw event JSON)</t>
  </si>
  <si>
    <t>Date</t>
  </si>
  <si>
    <t>Unresolved — extensive troubleshooting (group naming sysmon_event_13 vs sysmon_event13, field path confirmation via raw JSON, wazuh-logtest isolation) ruled out every obvious cause; root cause not conclusively identified</t>
  </si>
  <si>
    <t>Determined custom rule was unnecessary — Wazuh's built-in rule 92302 already provides full T1547.001 coverage with MITRE tagging out of the box. Deprioritized further debugging in favor of relying on validated built-in detection.</t>
  </si>
  <si>
    <t>Kali attacker host — updated from original 192.168.1.8 after network re-segmentation onto OPT1</t>
  </si>
  <si>
    <t>3 - Privilege Escalation</t>
  </si>
  <si>
    <t>Initially assumed the UAC bypass technique failed</t>
  </si>
  <si>
    <t>MITRE Technique</t>
  </si>
  <si>
    <t>No visible on-screen result (no Calculator popup) was mistaken for technique failure — conclusion was drawn from visual observation rather than checking the SIEM</t>
  </si>
  <si>
    <t>192.168.1.11</t>
  </si>
  <si>
    <t>Reviewed Wazuh logs retroactively and confirmed custom rule 100012 had in fact fired correctly (twice, at 01:59:38 and 02:02:19). No technical fix was needed — the real fix was procedural: always verify against telemetry before concluding a technique didn’t work.</t>
  </si>
  <si>
    <t>4 - Lateral Movement</t>
  </si>
  <si>
    <t>1-Initial Access</t>
  </si>
  <si>
    <t xml:space="preserve">	Custom rule 100013 had an XML syntax error (unclosed/malformed attribute)</t>
  </si>
  <si>
    <t>Curly-quote or paste-corruption issue in local_rules.xml, same class of error as Stage 1</t>
  </si>
  <si>
    <t xml:space="preserve">	Not fixed/needed — built-in ruleset (6 separate rules) already gave comprehensive coverage of the PsExec technique chain</t>
  </si>
  <si>
    <t>5 - Exfiltration</t>
  </si>
  <si>
    <t>Custom rule 100014 never fired despite correct-looking syntax</t>
  </si>
  <si>
    <t>Two compounded issues: (1) wrong if_group assumed initially before the correct sysmon_event_11 was found via direct ruleset inspection, and (2) Sysmon itself was not generating Event 11 at all for the target file — the deployed SwiftOnSecurity config filters .zip creation in user-writable directories by default</t>
  </si>
  <si>
    <t>Pivoted from Sysmon-based detection to Wazuh FIM (syscheck), which operates independently of Sysmon. Discovered C:\Users\Public was never actually added to the agent’s syscheck block despite being called out in the original setup. Added the directory with realtime monitoring, fixed a C::\ double-colon typo in the config, and confirmed detection via built-in rule 554/550</t>
  </si>
  <si>
    <t>Windows 11 victim endpoint</t>
  </si>
  <si>
    <t>Filename</t>
  </si>
  <si>
    <t>update.hta</t>
  </si>
  <si>
    <t>Malicious HTA payload</t>
  </si>
  <si>
    <t>File Hash (SHA256)</t>
  </si>
  <si>
    <t>Run Get-FileHash on payload</t>
  </si>
  <si>
    <t>Registry Key</t>
  </si>
  <si>
    <t>HKCU\Software\Microsoft\Windows\CurrentVersion\Run\Updater</t>
  </si>
  <si>
    <t xml:space="preserve"> Points to calc.exe (PoC)</t>
  </si>
  <si>
    <t>update.exe</t>
  </si>
  <si>
    <t>Dropped to C:\Users\Public</t>
  </si>
  <si>
    <t>HKCU\Software\Classes\mscfile\shell\open\command</t>
  </si>
  <si>
    <t>UAC bypass hijack attempt — technique did not execute</t>
  </si>
  <si>
    <t>Process Name</t>
  </si>
  <si>
    <t>PSEXESVC.exe</t>
  </si>
  <si>
    <t>Impacket psexec artifact</t>
  </si>
  <si>
    <t>staged.zip</t>
  </si>
  <si>
    <t>Archive of C:\Users\Public\Documents</t>
  </si>
  <si>
    <t>Technique Name</t>
  </si>
  <si>
    <t>Attacker Action (Kali)</t>
  </si>
  <si>
    <t>Expected Log Source</t>
  </si>
  <si>
    <t>Rule ID</t>
  </si>
  <si>
    <t>Severity</t>
  </si>
  <si>
    <t>Detected? (Y/N)</t>
  </si>
  <si>
    <t>Time Triggered</t>
  </si>
  <si>
    <t>Time Alert Seen</t>
  </si>
  <si>
    <t>MTTD (sec)</t>
  </si>
  <si>
    <t>Analyst Notes</t>
  </si>
  <si>
    <t>Summary</t>
  </si>
  <si>
    <t>T1566.001</t>
  </si>
  <si>
    <t>Phishing: Spearphishing Attachment</t>
  </si>
  <si>
    <t>mshta.exe HTA download &amp; execute</t>
  </si>
  <si>
    <t>Sysmon Event ID 1</t>
  </si>
  <si>
    <t>100010</t>
  </si>
  <si>
    <t>High</t>
  </si>
  <si>
    <t>Y</t>
  </si>
  <si>
    <t>Fixed regex typo (?!) -&gt; (?i) in local_rules.xml before it fired</t>
  </si>
  <si>
    <t>Total Steps</t>
  </si>
  <si>
    <t>host .hta, browse from windows vm</t>
  </si>
  <si>
    <t>snort HTTP .hta request</t>
  </si>
  <si>
    <t>Medium</t>
  </si>
  <si>
    <t>Required custom rule Pre-Defined ETOpen ruleset didnt catch</t>
  </si>
  <si>
    <t>Detected (Y)</t>
  </si>
  <si>
    <t>T1547.001</t>
  </si>
  <si>
    <t>Boot or Logon Autostart: Registry Run Key</t>
  </si>
  <si>
    <t>reg add ...CurrentVersion\Run run calc.exe</t>
  </si>
  <si>
    <t>Sysmon Event ID 13</t>
  </si>
  <si>
    <t>Wazuh-92302</t>
  </si>
  <si>
    <t>Built-in rule already had full MITRE mapping; custom rule 100011 not needed</t>
  </si>
  <si>
    <t>Missed (N)</t>
  </si>
  <si>
    <t>2 - Execution</t>
  </si>
  <si>
    <t>T1059.001</t>
  </si>
  <si>
    <t>Command and Scripting Interpreter: PowerShell</t>
  </si>
  <si>
    <t>update.exe dropped in Public/Temp</t>
  </si>
  <si>
    <t>Wazuh FIM</t>
  </si>
  <si>
    <t>Wazuh 554</t>
  </si>
  <si>
    <t>Enable FIM on C:\Users\Public and C:\Windows\Temp</t>
  </si>
  <si>
    <t>Detection Rate</t>
  </si>
  <si>
    <t>T1548.002</t>
  </si>
  <si>
    <t>Abuse Elevation Control: Bypass UAC</t>
  </si>
  <si>
    <t>eventvwr.exe mscfile hijack</t>
  </si>
  <si>
    <t>Sysmon Event ID 1 (unexpected child process)</t>
  </si>
  <si>
    <t>Wazuh custom 100012</t>
  </si>
  <si>
    <t>Critical</t>
  </si>
  <si>
    <t>Anomalous parent/child: eventvwr.exe spawning child process</t>
  </si>
  <si>
    <t>Avg MTTD (sec)</t>
  </si>
  <si>
    <t>T1021.002</t>
  </si>
  <si>
    <t>Remote Services: SMB/Windows Admin Shares</t>
  </si>
  <si>
    <t>Impacket psexec.py -&gt; SYSTEM shell via ADMIN$</t>
  </si>
  <si>
    <t>Sysmon Event ID 1 + Windows Security Events</t>
  </si>
  <si>
    <t>Wazuh 92650,92218,92052,92307,92652,67028 (built-in)</t>
  </si>
  <si>
    <t>Classic PsExec service artifact</t>
  </si>
  <si>
    <t>SMB logon from unusual source</t>
  </si>
  <si>
    <t>Security Event ID 4624 (Logon Type 3)</t>
  </si>
  <si>
    <t>Wazuh 92652 / 67028</t>
  </si>
  <si>
    <t>NOT INDEPENDENTLY TESTED</t>
  </si>
  <si>
    <t>ADMIN$/C$ share access</t>
  </si>
  <si>
    <t>Security Event ID 5145</t>
  </si>
  <si>
    <t>Wazuh 92218</t>
  </si>
  <si>
    <t>T1560</t>
  </si>
  <si>
    <t>Archive Collected Data</t>
  </si>
  <si>
    <t>Compress-Archive staged in Public dir</t>
  </si>
  <si>
    <t>Sysmon Event ID 11</t>
  </si>
  <si>
    <t>100014</t>
  </si>
  <si>
    <t>N</t>
  </si>
  <si>
    <t>T1041</t>
  </si>
  <si>
    <t>Exfiltration Over C2 Channel</t>
  </si>
  <si>
    <t>Invoke-WebRequest POST of staged .zip</t>
  </si>
  <si>
    <t>Snort/Wazuh network alert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</si>
</sst>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\-mm\-dd"/>
    <numFmt numFmtId="166" formatCode="hh:mm:ss"/>
    <numFmt numFmtId="167" formatCode="0.0%"/>
    <numFmt numFmtId="168" formatCode="0.0"/>
  </numFmts>
  <fonts count="13">
    <font>
      <sz val="11.0"/>
      <color theme="1"/>
      <name val="Calibri"/>
      <scheme val="minor"/>
    </font>
    <font>
      <b/>
      <sz val="16.0"/>
      <color rgb="FF1F2937"/>
      <name val="Calibri"/>
    </font>
    <font>
      <i/>
      <sz val="10.0"/>
      <color rgb="FF6B7280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b/>
      <sz val="9.0"/>
      <color rgb="FF1F2937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6.0"/>
      <color theme="1"/>
      <name val="Calibri"/>
    </font>
    <font>
      <sz val="9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C6EFCE"/>
        <bgColor rgb="FFC6EFCE"/>
      </patternFill>
    </fill>
    <fill>
      <patternFill patternType="solid">
        <fgColor rgb="FFF3F4F6"/>
        <bgColor rgb="FFF3F4F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/>
    </xf>
    <xf borderId="1" fillId="0" fontId="8" numFmtId="164" xfId="0" applyAlignment="1" applyBorder="1" applyFont="1" applyNumberFormat="1">
      <alignment horizontal="left" readingOrder="0" shrinkToFit="0" vertical="top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167" xfId="0" applyAlignment="1" applyBorder="1" applyFont="1" applyNumberFormat="1">
      <alignment horizontal="center" shrinkToFit="0" vertical="center" wrapText="1"/>
    </xf>
    <xf borderId="1" fillId="0" fontId="6" numFmtId="168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b/>
        <color rgb="FF991B1B"/>
        <name val="Calibri"/>
      </font>
      <fill>
        <patternFill patternType="none"/>
      </fill>
      <border/>
    </dxf>
    <dxf>
      <font>
        <b/>
        <color rgb="FFC2410C"/>
        <name val="Calibri"/>
      </font>
      <fill>
        <patternFill patternType="none"/>
      </fill>
      <border/>
    </dxf>
    <dxf>
      <font>
        <b/>
        <color rgb="FFCA8A04"/>
        <name val="Calibri"/>
      </font>
      <fill>
        <patternFill patternType="none"/>
      </fill>
      <border/>
    </dxf>
    <dxf>
      <font>
        <b/>
        <color rgb="FF15803D"/>
        <name val="Calibri"/>
      </font>
      <fill>
        <patternFill patternType="none"/>
      </fill>
      <border/>
    </dxf>
  </dxfs>
  <tableStyles count="2">
    <tableStyle count="4" pivot="0" name="IO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ection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N14" displayName="Table2" name="Table2" id="2">
  <tableColumns count="14">
    <tableColumn name="Log #" id="1"/>
    <tableColumn name="Date" id="2"/>
    <tableColumn name="Stage" id="3"/>
    <tableColumn name="MITRE Technique" id="4"/>
    <tableColumn name="Technique Name" id="5"/>
    <tableColumn name="Attacker Action (Kali)" id="6"/>
    <tableColumn name="Expected Log Source" id="7"/>
    <tableColumn name="Rule ID" id="8"/>
    <tableColumn name="Severity" id="9"/>
    <tableColumn name="Detected? (Y/N)" id="10"/>
    <tableColumn name="Time Triggered" id="11"/>
    <tableColumn name="Time Alert Seen" id="12"/>
    <tableColumn name="MTTD (sec)" id="13"/>
    <tableColumn name="Analyst Notes" id="14"/>
  </tableColumns>
  <tableStyleInfo name="Detection Log-style" showColumnStripes="0" showFirstColumn="1" showLastColumn="1" showRowStripes="1"/>
</table>
</file>

<file path=xl/tables/table2.xml><?xml version="1.0" encoding="utf-8"?>
<table xmlns="http://schemas.openxmlformats.org/spreadsheetml/2006/main" ref="A3:E12" displayName="Table1" name="Table1" id="1">
  <tableColumns count="5">
    <tableColumn name="Type" id="1"/>
    <tableColumn name="Value" id="2"/>
    <tableColumn name="Related Stage" id="3"/>
    <tableColumn name="First Observed" id="4"/>
    <tableColumn name="Notes" id="5"/>
  </tableColumns>
  <tableStyleInfo name="IO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14"/>
    <col customWidth="1" min="2" max="2" width="12.0"/>
    <col customWidth="1" min="3" max="3" width="20.0"/>
    <col customWidth="1" min="4" max="4" width="14.14"/>
    <col customWidth="1" min="5" max="5" width="30.0"/>
    <col customWidth="1" min="6" max="6" width="32.0"/>
    <col customWidth="1" min="7" max="7" width="26.0"/>
    <col customWidth="1" min="8" max="8" width="13.43"/>
    <col customWidth="1" min="9" max="9" width="15.14"/>
    <col customWidth="1" min="10" max="10" width="15.29"/>
    <col customWidth="1" min="11" max="11" width="14.86"/>
    <col customWidth="1" min="12" max="12" width="13.0"/>
    <col customWidth="1" min="13" max="13" width="11.0"/>
    <col customWidth="1" min="14" max="14" width="42.0"/>
    <col customWidth="1" min="15" max="15" width="8.71"/>
    <col customWidth="1" min="16" max="16" width="16.0"/>
    <col customWidth="1" min="17" max="17" width="12.0"/>
    <col customWidth="1" min="18" max="26" width="8.71"/>
  </cols>
  <sheetData>
    <row r="1" ht="21.75" customHeight="1">
      <c r="A1" s="1" t="s">
        <v>19</v>
      </c>
      <c r="P1" s="7"/>
      <c r="Q1" s="7"/>
    </row>
    <row r="2" ht="15.75" customHeight="1">
      <c r="A2" s="2" t="s">
        <v>30</v>
      </c>
      <c r="P2" s="7"/>
      <c r="Q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7"/>
      <c r="Q3" s="7"/>
    </row>
    <row r="4" ht="40.5" customHeight="1">
      <c r="A4" s="10" t="s">
        <v>43</v>
      </c>
      <c r="B4" s="10" t="s">
        <v>56</v>
      </c>
      <c r="C4" s="10" t="s">
        <v>20</v>
      </c>
      <c r="D4" s="10" t="s">
        <v>62</v>
      </c>
      <c r="E4" s="10" t="s">
        <v>93</v>
      </c>
      <c r="F4" s="10" t="s">
        <v>94</v>
      </c>
      <c r="G4" s="10" t="s">
        <v>95</v>
      </c>
      <c r="H4" s="10" t="s">
        <v>96</v>
      </c>
      <c r="I4" s="10" t="s">
        <v>97</v>
      </c>
      <c r="J4" s="10" t="s">
        <v>98</v>
      </c>
      <c r="K4" s="10" t="s">
        <v>99</v>
      </c>
      <c r="L4" s="10" t="s">
        <v>100</v>
      </c>
      <c r="M4" s="10" t="s">
        <v>101</v>
      </c>
      <c r="N4" s="10" t="s">
        <v>102</v>
      </c>
      <c r="P4" s="23" t="s">
        <v>103</v>
      </c>
      <c r="Q4" s="7"/>
    </row>
    <row r="5" ht="23.25" customHeight="1">
      <c r="A5" s="24">
        <v>1.0</v>
      </c>
      <c r="B5" s="25"/>
      <c r="C5" s="26" t="s">
        <v>27</v>
      </c>
      <c r="D5" s="26" t="s">
        <v>104</v>
      </c>
      <c r="E5" s="26" t="s">
        <v>105</v>
      </c>
      <c r="F5" s="16" t="s">
        <v>106</v>
      </c>
      <c r="G5" s="26" t="s">
        <v>107</v>
      </c>
      <c r="H5" s="26" t="s">
        <v>108</v>
      </c>
      <c r="I5" s="27" t="s">
        <v>109</v>
      </c>
      <c r="J5" s="26" t="s">
        <v>110</v>
      </c>
      <c r="K5" s="28"/>
      <c r="L5" s="28"/>
      <c r="M5" s="26" t="str">
        <f t="shared" ref="M5:M14" si="1">IF(OR(K5="",L5=""),"",(L5-K5)*86400)</f>
        <v/>
      </c>
      <c r="N5" s="16" t="s">
        <v>111</v>
      </c>
      <c r="P5" s="29" t="s">
        <v>112</v>
      </c>
      <c r="Q5" s="30">
        <f>COUNTA(A5:A14)</f>
        <v>10</v>
      </c>
    </row>
    <row r="6" ht="15.0" customHeight="1">
      <c r="A6" s="24">
        <v>2.0</v>
      </c>
      <c r="B6" s="25"/>
      <c r="C6" s="26" t="s">
        <v>27</v>
      </c>
      <c r="D6" s="26" t="s">
        <v>104</v>
      </c>
      <c r="E6" s="26" t="s">
        <v>105</v>
      </c>
      <c r="F6" s="18" t="s">
        <v>113</v>
      </c>
      <c r="G6" s="31" t="s">
        <v>114</v>
      </c>
      <c r="H6" s="31">
        <v>1000001.0</v>
      </c>
      <c r="I6" s="27" t="s">
        <v>115</v>
      </c>
      <c r="J6" s="31" t="s">
        <v>110</v>
      </c>
      <c r="K6" s="28"/>
      <c r="L6" s="28"/>
      <c r="M6" s="26" t="str">
        <f t="shared" si="1"/>
        <v/>
      </c>
      <c r="N6" s="18" t="s">
        <v>116</v>
      </c>
      <c r="P6" s="29" t="s">
        <v>117</v>
      </c>
      <c r="Q6" s="30">
        <f>COUNTIF(J5:J14,"Y")</f>
        <v>7</v>
      </c>
    </row>
    <row r="7" ht="44.25" customHeight="1">
      <c r="A7" s="24">
        <v>3.0</v>
      </c>
      <c r="B7" s="25"/>
      <c r="C7" s="26" t="s">
        <v>53</v>
      </c>
      <c r="D7" s="26" t="s">
        <v>118</v>
      </c>
      <c r="E7" s="26" t="s">
        <v>119</v>
      </c>
      <c r="F7" s="18" t="s">
        <v>120</v>
      </c>
      <c r="G7" s="26" t="s">
        <v>121</v>
      </c>
      <c r="H7" s="31" t="s">
        <v>122</v>
      </c>
      <c r="I7" s="27" t="s">
        <v>109</v>
      </c>
      <c r="J7" s="31" t="s">
        <v>110</v>
      </c>
      <c r="K7" s="28"/>
      <c r="L7" s="28"/>
      <c r="M7" s="26" t="str">
        <f t="shared" si="1"/>
        <v/>
      </c>
      <c r="N7" s="18" t="s">
        <v>123</v>
      </c>
      <c r="P7" s="29" t="s">
        <v>124</v>
      </c>
      <c r="Q7" s="30">
        <f>COUNTIF(J5:J14,"N")</f>
        <v>2</v>
      </c>
    </row>
    <row r="8" ht="23.25" customHeight="1">
      <c r="A8" s="24">
        <v>4.0</v>
      </c>
      <c r="B8" s="25"/>
      <c r="C8" s="26" t="s">
        <v>125</v>
      </c>
      <c r="D8" s="26" t="s">
        <v>126</v>
      </c>
      <c r="E8" s="26" t="s">
        <v>127</v>
      </c>
      <c r="F8" s="16" t="s">
        <v>128</v>
      </c>
      <c r="G8" s="31" t="s">
        <v>129</v>
      </c>
      <c r="H8" s="31" t="s">
        <v>130</v>
      </c>
      <c r="I8" s="27" t="s">
        <v>115</v>
      </c>
      <c r="J8" s="31" t="s">
        <v>110</v>
      </c>
      <c r="K8" s="28"/>
      <c r="L8" s="28"/>
      <c r="M8" s="26" t="str">
        <f t="shared" si="1"/>
        <v/>
      </c>
      <c r="N8" s="16" t="s">
        <v>131</v>
      </c>
      <c r="P8" s="29" t="s">
        <v>132</v>
      </c>
      <c r="Q8" s="32">
        <f>IFERROR(Q6/Q5,"")</f>
        <v>0.7</v>
      </c>
    </row>
    <row r="9" ht="38.25" customHeight="1">
      <c r="A9" s="24">
        <v>5.0</v>
      </c>
      <c r="B9" s="25"/>
      <c r="C9" s="26" t="s">
        <v>60</v>
      </c>
      <c r="D9" s="26" t="s">
        <v>133</v>
      </c>
      <c r="E9" s="26" t="s">
        <v>134</v>
      </c>
      <c r="F9" s="18" t="s">
        <v>135</v>
      </c>
      <c r="G9" s="31" t="s">
        <v>136</v>
      </c>
      <c r="H9" s="31" t="s">
        <v>137</v>
      </c>
      <c r="I9" s="27" t="s">
        <v>138</v>
      </c>
      <c r="J9" s="31" t="s">
        <v>110</v>
      </c>
      <c r="K9" s="28"/>
      <c r="L9" s="28"/>
      <c r="M9" s="26" t="str">
        <f t="shared" si="1"/>
        <v/>
      </c>
      <c r="N9" s="16" t="s">
        <v>139</v>
      </c>
      <c r="P9" s="29" t="s">
        <v>140</v>
      </c>
      <c r="Q9" s="33" t="str">
        <f>IFERROR(AVERAGE(M5:M14),"")</f>
        <v/>
      </c>
    </row>
    <row r="10" ht="63.75" customHeight="1">
      <c r="A10" s="24">
        <v>6.0</v>
      </c>
      <c r="B10" s="25"/>
      <c r="C10" s="26" t="s">
        <v>66</v>
      </c>
      <c r="D10" s="26" t="s">
        <v>141</v>
      </c>
      <c r="E10" s="26" t="s">
        <v>142</v>
      </c>
      <c r="F10" s="18" t="s">
        <v>143</v>
      </c>
      <c r="G10" s="31" t="s">
        <v>144</v>
      </c>
      <c r="H10" s="31" t="s">
        <v>145</v>
      </c>
      <c r="I10" s="27" t="s">
        <v>138</v>
      </c>
      <c r="J10" s="31" t="s">
        <v>110</v>
      </c>
      <c r="K10" s="28"/>
      <c r="L10" s="28"/>
      <c r="M10" s="26" t="str">
        <f t="shared" si="1"/>
        <v/>
      </c>
      <c r="N10" s="16" t="s">
        <v>146</v>
      </c>
      <c r="P10" s="7"/>
      <c r="Q10" s="7"/>
    </row>
    <row r="11" ht="23.25" customHeight="1">
      <c r="A11" s="24">
        <v>7.0</v>
      </c>
      <c r="B11" s="25"/>
      <c r="C11" s="26" t="s">
        <v>66</v>
      </c>
      <c r="D11" s="26" t="s">
        <v>141</v>
      </c>
      <c r="E11" s="26" t="s">
        <v>142</v>
      </c>
      <c r="F11" s="16" t="s">
        <v>147</v>
      </c>
      <c r="G11" s="26" t="s">
        <v>148</v>
      </c>
      <c r="H11" s="31" t="s">
        <v>149</v>
      </c>
      <c r="I11" s="27" t="s">
        <v>109</v>
      </c>
      <c r="J11" s="34" t="s">
        <v>150</v>
      </c>
      <c r="K11" s="28"/>
      <c r="L11" s="28"/>
      <c r="M11" s="26" t="str">
        <f t="shared" si="1"/>
        <v/>
      </c>
      <c r="N11" s="16"/>
      <c r="P11" s="7"/>
      <c r="Q11" s="7"/>
    </row>
    <row r="12" ht="23.25" customHeight="1">
      <c r="A12" s="24">
        <v>8.0</v>
      </c>
      <c r="B12" s="25"/>
      <c r="C12" s="26" t="s">
        <v>66</v>
      </c>
      <c r="D12" s="26" t="s">
        <v>141</v>
      </c>
      <c r="E12" s="26" t="s">
        <v>142</v>
      </c>
      <c r="F12" s="16" t="s">
        <v>151</v>
      </c>
      <c r="G12" s="26" t="s">
        <v>152</v>
      </c>
      <c r="H12" s="35" t="s">
        <v>153</v>
      </c>
      <c r="I12" s="27" t="s">
        <v>115</v>
      </c>
      <c r="J12" s="31" t="s">
        <v>110</v>
      </c>
      <c r="K12" s="28"/>
      <c r="L12" s="28"/>
      <c r="M12" s="26" t="str">
        <f t="shared" si="1"/>
        <v/>
      </c>
      <c r="N12" s="16"/>
      <c r="P12" s="7"/>
      <c r="Q12" s="7"/>
    </row>
    <row r="13" ht="15.0" customHeight="1">
      <c r="A13" s="24">
        <v>9.0</v>
      </c>
      <c r="B13" s="25"/>
      <c r="C13" s="26" t="s">
        <v>71</v>
      </c>
      <c r="D13" s="26" t="s">
        <v>154</v>
      </c>
      <c r="E13" s="26" t="s">
        <v>155</v>
      </c>
      <c r="F13" s="16" t="s">
        <v>156</v>
      </c>
      <c r="G13" s="26" t="s">
        <v>157</v>
      </c>
      <c r="H13" s="26" t="s">
        <v>158</v>
      </c>
      <c r="I13" s="27" t="s">
        <v>109</v>
      </c>
      <c r="J13" s="31" t="s">
        <v>159</v>
      </c>
      <c r="K13" s="28"/>
      <c r="L13" s="28"/>
      <c r="M13" s="26" t="str">
        <f t="shared" si="1"/>
        <v/>
      </c>
      <c r="N13" s="16"/>
      <c r="P13" s="7"/>
      <c r="Q13" s="7"/>
    </row>
    <row r="14" ht="15.0" customHeight="1">
      <c r="A14" s="24">
        <v>10.0</v>
      </c>
      <c r="B14" s="25"/>
      <c r="C14" s="26" t="s">
        <v>71</v>
      </c>
      <c r="D14" s="26" t="s">
        <v>160</v>
      </c>
      <c r="E14" s="26" t="s">
        <v>161</v>
      </c>
      <c r="F14" s="16" t="s">
        <v>162</v>
      </c>
      <c r="G14" s="26" t="s">
        <v>163</v>
      </c>
      <c r="H14" s="26"/>
      <c r="I14" s="27" t="s">
        <v>138</v>
      </c>
      <c r="J14" s="31" t="s">
        <v>159</v>
      </c>
      <c r="K14" s="28"/>
      <c r="L14" s="28"/>
      <c r="M14" s="26" t="str">
        <f t="shared" si="1"/>
        <v/>
      </c>
      <c r="N14" s="16"/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P15" s="7"/>
      <c r="Q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P16" s="7"/>
      <c r="Q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P17" s="7"/>
      <c r="Q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P18" s="7"/>
      <c r="Q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P19" s="7"/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P20" s="7"/>
      <c r="Q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P21" s="7"/>
      <c r="Q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P22" s="7"/>
      <c r="Q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P23" s="7"/>
      <c r="Q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P24" s="7"/>
      <c r="Q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P25" s="7"/>
      <c r="Q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P26" s="7"/>
      <c r="Q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P27" s="7"/>
      <c r="Q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P28" s="7"/>
      <c r="Q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P29" s="7"/>
      <c r="Q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P30" s="7"/>
      <c r="Q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P31" s="7"/>
      <c r="Q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P32" s="7"/>
      <c r="Q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P33" s="7"/>
      <c r="Q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P35" s="7"/>
      <c r="Q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P37" s="7"/>
      <c r="Q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P38" s="7"/>
      <c r="Q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P39" s="7"/>
      <c r="Q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P40" s="7"/>
      <c r="Q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P41" s="7"/>
      <c r="Q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P42" s="7"/>
      <c r="Q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P43" s="7"/>
      <c r="Q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P44" s="7"/>
      <c r="Q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P45" s="7"/>
      <c r="Q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P46" s="7"/>
      <c r="Q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P47" s="7"/>
      <c r="Q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P48" s="7"/>
      <c r="Q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P49" s="7"/>
      <c r="Q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P50" s="7"/>
      <c r="Q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P51" s="7"/>
      <c r="Q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P52" s="7"/>
      <c r="Q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P53" s="7"/>
      <c r="Q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P54" s="7"/>
      <c r="Q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P55" s="7"/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P56" s="7"/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P57" s="7"/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P58" s="7"/>
      <c r="Q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P59" s="7"/>
      <c r="Q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P60" s="7"/>
      <c r="Q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P61" s="7"/>
      <c r="Q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P62" s="7"/>
      <c r="Q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P63" s="7"/>
      <c r="Q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P64" s="7"/>
      <c r="Q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P65" s="7"/>
      <c r="Q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P66" s="7"/>
      <c r="Q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P67" s="7"/>
      <c r="Q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P68" s="7"/>
      <c r="Q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P69" s="7"/>
      <c r="Q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P70" s="7"/>
      <c r="Q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P71" s="7"/>
      <c r="Q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P72" s="7"/>
      <c r="Q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P73" s="7"/>
      <c r="Q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P74" s="7"/>
      <c r="Q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P75" s="7"/>
      <c r="Q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P76" s="7"/>
      <c r="Q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P77" s="7"/>
      <c r="Q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P78" s="7"/>
      <c r="Q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P79" s="7"/>
      <c r="Q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P80" s="7"/>
      <c r="Q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P81" s="7"/>
      <c r="Q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P82" s="7"/>
      <c r="Q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P83" s="7"/>
      <c r="Q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P84" s="7"/>
      <c r="Q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P85" s="7"/>
      <c r="Q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P86" s="7"/>
      <c r="Q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P87" s="7"/>
      <c r="Q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P88" s="7"/>
      <c r="Q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P89" s="7"/>
      <c r="Q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P90" s="7"/>
      <c r="Q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P91" s="7"/>
      <c r="Q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P92" s="7"/>
      <c r="Q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P93" s="7"/>
      <c r="Q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P94" s="7"/>
      <c r="Q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P95" s="7"/>
      <c r="Q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P96" s="7"/>
      <c r="Q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P97" s="7"/>
      <c r="Q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P98" s="7"/>
      <c r="Q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P99" s="7"/>
      <c r="Q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P100" s="7"/>
      <c r="Q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P101" s="7"/>
      <c r="Q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P102" s="7"/>
      <c r="Q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P103" s="7"/>
      <c r="Q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P104" s="7"/>
      <c r="Q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P105" s="7"/>
      <c r="Q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P106" s="7"/>
      <c r="Q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P107" s="7"/>
      <c r="Q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P108" s="7"/>
      <c r="Q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P109" s="7"/>
      <c r="Q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P110" s="7"/>
      <c r="Q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P111" s="7"/>
      <c r="Q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P112" s="7"/>
      <c r="Q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P113" s="7"/>
      <c r="Q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P114" s="7"/>
      <c r="Q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P115" s="7"/>
      <c r="Q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P116" s="7"/>
      <c r="Q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P117" s="7"/>
      <c r="Q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P118" s="7"/>
      <c r="Q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P119" s="7"/>
      <c r="Q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P120" s="7"/>
      <c r="Q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P121" s="7"/>
      <c r="Q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P122" s="7"/>
      <c r="Q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P123" s="7"/>
      <c r="Q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P124" s="7"/>
      <c r="Q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P125" s="7"/>
      <c r="Q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P126" s="7"/>
      <c r="Q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P127" s="7"/>
      <c r="Q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P128" s="7"/>
      <c r="Q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P129" s="7"/>
      <c r="Q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P130" s="7"/>
      <c r="Q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P131" s="7"/>
      <c r="Q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P132" s="7"/>
      <c r="Q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P133" s="7"/>
      <c r="Q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P134" s="7"/>
      <c r="Q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P135" s="7"/>
      <c r="Q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P136" s="7"/>
      <c r="Q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P137" s="7"/>
      <c r="Q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P138" s="7"/>
      <c r="Q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P139" s="7"/>
      <c r="Q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P140" s="7"/>
      <c r="Q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P141" s="7"/>
      <c r="Q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P142" s="7"/>
      <c r="Q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P143" s="7"/>
      <c r="Q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P144" s="7"/>
      <c r="Q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P145" s="7"/>
      <c r="Q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P146" s="7"/>
      <c r="Q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P147" s="7"/>
      <c r="Q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P148" s="7"/>
      <c r="Q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P149" s="7"/>
      <c r="Q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P150" s="7"/>
      <c r="Q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P151" s="7"/>
      <c r="Q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P152" s="7"/>
      <c r="Q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P153" s="7"/>
      <c r="Q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P154" s="7"/>
      <c r="Q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P155" s="7"/>
      <c r="Q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P156" s="7"/>
      <c r="Q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P157" s="7"/>
      <c r="Q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P158" s="7"/>
      <c r="Q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P159" s="7"/>
      <c r="Q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P160" s="7"/>
      <c r="Q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P161" s="7"/>
      <c r="Q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P162" s="7"/>
      <c r="Q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P163" s="7"/>
      <c r="Q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P164" s="7"/>
      <c r="Q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P165" s="7"/>
      <c r="Q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P166" s="7"/>
      <c r="Q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P167" s="7"/>
      <c r="Q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P168" s="7"/>
      <c r="Q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P169" s="7"/>
      <c r="Q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P170" s="7"/>
      <c r="Q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P171" s="7"/>
      <c r="Q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P172" s="7"/>
      <c r="Q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P173" s="7"/>
      <c r="Q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P174" s="7"/>
      <c r="Q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P175" s="7"/>
      <c r="Q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P176" s="7"/>
      <c r="Q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P177" s="7"/>
      <c r="Q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P178" s="7"/>
      <c r="Q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P179" s="7"/>
      <c r="Q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P180" s="7"/>
      <c r="Q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P181" s="7"/>
      <c r="Q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P182" s="7"/>
      <c r="Q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P183" s="7"/>
      <c r="Q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P184" s="7"/>
      <c r="Q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P185" s="7"/>
      <c r="Q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P186" s="7"/>
      <c r="Q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P187" s="7"/>
      <c r="Q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P188" s="7"/>
      <c r="Q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P189" s="7"/>
      <c r="Q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P190" s="7"/>
      <c r="Q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P191" s="7"/>
      <c r="Q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P192" s="7"/>
      <c r="Q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P193" s="7"/>
      <c r="Q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P194" s="7"/>
      <c r="Q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P195" s="7"/>
      <c r="Q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P196" s="7"/>
      <c r="Q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P197" s="7"/>
      <c r="Q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P198" s="7"/>
      <c r="Q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P199" s="7"/>
      <c r="Q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P200" s="7"/>
      <c r="Q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P201" s="7"/>
      <c r="Q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P202" s="7"/>
      <c r="Q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P203" s="7"/>
      <c r="Q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P204" s="7"/>
      <c r="Q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P205" s="7"/>
      <c r="Q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P206" s="7"/>
      <c r="Q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P207" s="7"/>
      <c r="Q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P208" s="7"/>
      <c r="Q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P209" s="7"/>
      <c r="Q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P210" s="7"/>
      <c r="Q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P211" s="7"/>
      <c r="Q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P212" s="7"/>
      <c r="Q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P213" s="7"/>
      <c r="Q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P214" s="7"/>
      <c r="Q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P215" s="7"/>
      <c r="Q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P216" s="7"/>
      <c r="Q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P217" s="7"/>
      <c r="Q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P218" s="7"/>
      <c r="Q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P219" s="7"/>
      <c r="Q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P220" s="7"/>
      <c r="Q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P221" s="7"/>
      <c r="Q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P222" s="7"/>
      <c r="Q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P223" s="7"/>
      <c r="Q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P224" s="7"/>
      <c r="Q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P225" s="7"/>
      <c r="Q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P226" s="7"/>
      <c r="Q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P227" s="7"/>
      <c r="Q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P228" s="7"/>
      <c r="Q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P229" s="7"/>
      <c r="Q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P230" s="7"/>
      <c r="Q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P231" s="7"/>
      <c r="Q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P232" s="7"/>
      <c r="Q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P233" s="7"/>
      <c r="Q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P234" s="7"/>
      <c r="Q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P235" s="7"/>
      <c r="Q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P236" s="7"/>
      <c r="Q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P237" s="7"/>
      <c r="Q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P238" s="7"/>
      <c r="Q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P239" s="7"/>
      <c r="Q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P240" s="7"/>
      <c r="Q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P241" s="7"/>
      <c r="Q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P242" s="7"/>
      <c r="Q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P243" s="7"/>
      <c r="Q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P244" s="7"/>
      <c r="Q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P245" s="7"/>
      <c r="Q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P246" s="7"/>
      <c r="Q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P247" s="7"/>
      <c r="Q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P248" s="7"/>
      <c r="Q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P249" s="7"/>
      <c r="Q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P250" s="7"/>
      <c r="Q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P251" s="7"/>
      <c r="Q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P252" s="7"/>
      <c r="Q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P253" s="7"/>
      <c r="Q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P254" s="7"/>
      <c r="Q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P255" s="7"/>
      <c r="Q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P256" s="7"/>
      <c r="Q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P257" s="7"/>
      <c r="Q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P258" s="7"/>
      <c r="Q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P259" s="7"/>
      <c r="Q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P260" s="7"/>
      <c r="Q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P261" s="7"/>
      <c r="Q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P262" s="7"/>
      <c r="Q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P263" s="7"/>
      <c r="Q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P264" s="7"/>
      <c r="Q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P265" s="7"/>
      <c r="Q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P266" s="7"/>
      <c r="Q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P267" s="7"/>
      <c r="Q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P268" s="7"/>
      <c r="Q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P269" s="7"/>
      <c r="Q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P270" s="7"/>
      <c r="Q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P271" s="7"/>
      <c r="Q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P272" s="7"/>
      <c r="Q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P273" s="7"/>
      <c r="Q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P274" s="7"/>
      <c r="Q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P275" s="7"/>
      <c r="Q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P276" s="7"/>
      <c r="Q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P277" s="7"/>
      <c r="Q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P278" s="7"/>
      <c r="Q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P279" s="7"/>
      <c r="Q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P280" s="7"/>
      <c r="Q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P281" s="7"/>
      <c r="Q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P282" s="7"/>
      <c r="Q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P283" s="7"/>
      <c r="Q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P284" s="7"/>
      <c r="Q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P285" s="7"/>
      <c r="Q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P286" s="7"/>
      <c r="Q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P287" s="7"/>
      <c r="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P288" s="7"/>
      <c r="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P289" s="7"/>
      <c r="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P290" s="7"/>
      <c r="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P291" s="7"/>
      <c r="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P292" s="7"/>
      <c r="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P293" s="7"/>
      <c r="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P294" s="7"/>
      <c r="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P295" s="7"/>
      <c r="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P296" s="7"/>
      <c r="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P297" s="7"/>
      <c r="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P298" s="7"/>
      <c r="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P299" s="7"/>
      <c r="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P300" s="7"/>
      <c r="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P301" s="7"/>
      <c r="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P302" s="7"/>
      <c r="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P303" s="7"/>
      <c r="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P304" s="7"/>
      <c r="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P305" s="7"/>
      <c r="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P306" s="7"/>
      <c r="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P307" s="7"/>
      <c r="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P308" s="7"/>
      <c r="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P309" s="7"/>
      <c r="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P310" s="7"/>
      <c r="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P311" s="7"/>
      <c r="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P312" s="7"/>
      <c r="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P313" s="7"/>
      <c r="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P314" s="7"/>
      <c r="Q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P315" s="7"/>
      <c r="Q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P316" s="7"/>
      <c r="Q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P317" s="7"/>
      <c r="Q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P318" s="7"/>
      <c r="Q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P319" s="7"/>
      <c r="Q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P320" s="7"/>
      <c r="Q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P321" s="7"/>
      <c r="Q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P322" s="7"/>
      <c r="Q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P323" s="7"/>
      <c r="Q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P324" s="7"/>
      <c r="Q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P325" s="7"/>
      <c r="Q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P326" s="7"/>
      <c r="Q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P327" s="7"/>
      <c r="Q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P328" s="7"/>
      <c r="Q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P329" s="7"/>
      <c r="Q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P330" s="7"/>
      <c r="Q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P331" s="7"/>
      <c r="Q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P332" s="7"/>
      <c r="Q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P333" s="7"/>
      <c r="Q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P334" s="7"/>
      <c r="Q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P335" s="7"/>
      <c r="Q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P336" s="7"/>
      <c r="Q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P337" s="7"/>
      <c r="Q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P338" s="7"/>
      <c r="Q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P339" s="7"/>
      <c r="Q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P340" s="7"/>
      <c r="Q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P341" s="7"/>
      <c r="Q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P342" s="7"/>
      <c r="Q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P343" s="7"/>
      <c r="Q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P344" s="7"/>
      <c r="Q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P345" s="7"/>
      <c r="Q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P346" s="7"/>
      <c r="Q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P347" s="7"/>
      <c r="Q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P348" s="7"/>
      <c r="Q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P349" s="7"/>
      <c r="Q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P350" s="7"/>
      <c r="Q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P351" s="7"/>
      <c r="Q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P352" s="7"/>
      <c r="Q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P353" s="7"/>
      <c r="Q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P354" s="7"/>
      <c r="Q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P355" s="7"/>
      <c r="Q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P356" s="7"/>
      <c r="Q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P357" s="7"/>
      <c r="Q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P358" s="7"/>
      <c r="Q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P359" s="7"/>
      <c r="Q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P360" s="7"/>
      <c r="Q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P361" s="7"/>
      <c r="Q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P362" s="7"/>
      <c r="Q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P363" s="7"/>
      <c r="Q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P364" s="7"/>
      <c r="Q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P365" s="7"/>
      <c r="Q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P366" s="7"/>
      <c r="Q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P367" s="7"/>
      <c r="Q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P368" s="7"/>
      <c r="Q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P369" s="7"/>
      <c r="Q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P370" s="7"/>
      <c r="Q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P371" s="7"/>
      <c r="Q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P372" s="7"/>
      <c r="Q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P373" s="7"/>
      <c r="Q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P374" s="7"/>
      <c r="Q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P375" s="7"/>
      <c r="Q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P376" s="7"/>
      <c r="Q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P377" s="7"/>
      <c r="Q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P378" s="7"/>
      <c r="Q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P379" s="7"/>
      <c r="Q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P380" s="7"/>
      <c r="Q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P381" s="7"/>
      <c r="Q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P382" s="7"/>
      <c r="Q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P383" s="7"/>
      <c r="Q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P384" s="7"/>
      <c r="Q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P385" s="7"/>
      <c r="Q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P386" s="7"/>
      <c r="Q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P387" s="7"/>
      <c r="Q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P388" s="7"/>
      <c r="Q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P389" s="7"/>
      <c r="Q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P390" s="7"/>
      <c r="Q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P391" s="7"/>
      <c r="Q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P392" s="7"/>
      <c r="Q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P393" s="7"/>
      <c r="Q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P394" s="7"/>
      <c r="Q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P395" s="7"/>
      <c r="Q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P396" s="7"/>
      <c r="Q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P397" s="7"/>
      <c r="Q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P398" s="7"/>
      <c r="Q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P399" s="7"/>
      <c r="Q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P400" s="7"/>
      <c r="Q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P401" s="7"/>
      <c r="Q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P402" s="7"/>
      <c r="Q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P403" s="7"/>
      <c r="Q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P404" s="7"/>
      <c r="Q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P405" s="7"/>
      <c r="Q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P406" s="7"/>
      <c r="Q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P407" s="7"/>
      <c r="Q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P408" s="7"/>
      <c r="Q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P409" s="7"/>
      <c r="Q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P410" s="7"/>
      <c r="Q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P411" s="7"/>
      <c r="Q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P412" s="7"/>
      <c r="Q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P413" s="7"/>
      <c r="Q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P414" s="7"/>
      <c r="Q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P415" s="7"/>
      <c r="Q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P416" s="7"/>
      <c r="Q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P417" s="7"/>
      <c r="Q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P418" s="7"/>
      <c r="Q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P419" s="7"/>
      <c r="Q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P420" s="7"/>
      <c r="Q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P421" s="7"/>
      <c r="Q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P422" s="7"/>
      <c r="Q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P423" s="7"/>
      <c r="Q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P424" s="7"/>
      <c r="Q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P425" s="7"/>
      <c r="Q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P426" s="7"/>
      <c r="Q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P427" s="7"/>
      <c r="Q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P428" s="7"/>
      <c r="Q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P429" s="7"/>
      <c r="Q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P430" s="7"/>
      <c r="Q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P431" s="7"/>
      <c r="Q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P432" s="7"/>
      <c r="Q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P433" s="7"/>
      <c r="Q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P434" s="7"/>
      <c r="Q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P435" s="7"/>
      <c r="Q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P436" s="7"/>
      <c r="Q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P437" s="7"/>
      <c r="Q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P438" s="7"/>
      <c r="Q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P439" s="7"/>
      <c r="Q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P440" s="7"/>
      <c r="Q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P441" s="7"/>
      <c r="Q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P442" s="7"/>
      <c r="Q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P443" s="7"/>
      <c r="Q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P444" s="7"/>
      <c r="Q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P445" s="7"/>
      <c r="Q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P446" s="7"/>
      <c r="Q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P447" s="7"/>
      <c r="Q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P448" s="7"/>
      <c r="Q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P449" s="7"/>
      <c r="Q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P450" s="7"/>
      <c r="Q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P451" s="7"/>
      <c r="Q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P452" s="7"/>
      <c r="Q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P453" s="7"/>
      <c r="Q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P454" s="7"/>
      <c r="Q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P455" s="7"/>
      <c r="Q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P456" s="7"/>
      <c r="Q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P457" s="7"/>
      <c r="Q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P458" s="7"/>
      <c r="Q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P459" s="7"/>
      <c r="Q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P460" s="7"/>
      <c r="Q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P461" s="7"/>
      <c r="Q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P462" s="7"/>
      <c r="Q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P463" s="7"/>
      <c r="Q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P464" s="7"/>
      <c r="Q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P465" s="7"/>
      <c r="Q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P466" s="7"/>
      <c r="Q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P467" s="7"/>
      <c r="Q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P468" s="7"/>
      <c r="Q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P469" s="7"/>
      <c r="Q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P470" s="7"/>
      <c r="Q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P471" s="7"/>
      <c r="Q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P472" s="7"/>
      <c r="Q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P473" s="7"/>
      <c r="Q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P474" s="7"/>
      <c r="Q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P475" s="7"/>
      <c r="Q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P476" s="7"/>
      <c r="Q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P477" s="7"/>
      <c r="Q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P478" s="7"/>
      <c r="Q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P479" s="7"/>
      <c r="Q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P480" s="7"/>
      <c r="Q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P481" s="7"/>
      <c r="Q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P482" s="7"/>
      <c r="Q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P483" s="7"/>
      <c r="Q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P484" s="7"/>
      <c r="Q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P485" s="7"/>
      <c r="Q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P486" s="7"/>
      <c r="Q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P487" s="7"/>
      <c r="Q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P488" s="7"/>
      <c r="Q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P489" s="7"/>
      <c r="Q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P490" s="7"/>
      <c r="Q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P491" s="7"/>
      <c r="Q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P492" s="7"/>
      <c r="Q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P493" s="7"/>
      <c r="Q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P494" s="7"/>
      <c r="Q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P495" s="7"/>
      <c r="Q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P496" s="7"/>
      <c r="Q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P497" s="7"/>
      <c r="Q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P498" s="7"/>
      <c r="Q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P499" s="7"/>
      <c r="Q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P500" s="7"/>
      <c r="Q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P501" s="7"/>
      <c r="Q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P502" s="7"/>
      <c r="Q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P503" s="7"/>
      <c r="Q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P504" s="7"/>
      <c r="Q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P505" s="7"/>
      <c r="Q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P506" s="7"/>
      <c r="Q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P507" s="7"/>
      <c r="Q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P508" s="7"/>
      <c r="Q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P509" s="7"/>
      <c r="Q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P510" s="7"/>
      <c r="Q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P511" s="7"/>
      <c r="Q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P512" s="7"/>
      <c r="Q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P513" s="7"/>
      <c r="Q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P514" s="7"/>
      <c r="Q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P515" s="7"/>
      <c r="Q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P516" s="7"/>
      <c r="Q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P517" s="7"/>
      <c r="Q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P518" s="7"/>
      <c r="Q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P519" s="7"/>
      <c r="Q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P520" s="7"/>
      <c r="Q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P521" s="7"/>
      <c r="Q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P522" s="7"/>
      <c r="Q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P523" s="7"/>
      <c r="Q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P524" s="7"/>
      <c r="Q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P525" s="7"/>
      <c r="Q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P526" s="7"/>
      <c r="Q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P527" s="7"/>
      <c r="Q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P528" s="7"/>
      <c r="Q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P529" s="7"/>
      <c r="Q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P530" s="7"/>
      <c r="Q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P531" s="7"/>
      <c r="Q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P532" s="7"/>
      <c r="Q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P533" s="7"/>
      <c r="Q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P534" s="7"/>
      <c r="Q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P535" s="7"/>
      <c r="Q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P536" s="7"/>
      <c r="Q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P537" s="7"/>
      <c r="Q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P538" s="7"/>
      <c r="Q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P539" s="7"/>
      <c r="Q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P540" s="7"/>
      <c r="Q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P541" s="7"/>
      <c r="Q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P542" s="7"/>
      <c r="Q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P543" s="7"/>
      <c r="Q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P544" s="7"/>
      <c r="Q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P545" s="7"/>
      <c r="Q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P546" s="7"/>
      <c r="Q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P547" s="7"/>
      <c r="Q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P548" s="7"/>
      <c r="Q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P549" s="7"/>
      <c r="Q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P550" s="7"/>
      <c r="Q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P551" s="7"/>
      <c r="Q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P552" s="7"/>
      <c r="Q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P553" s="7"/>
      <c r="Q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P554" s="7"/>
      <c r="Q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P555" s="7"/>
      <c r="Q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P556" s="7"/>
      <c r="Q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P557" s="7"/>
      <c r="Q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P558" s="7"/>
      <c r="Q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P559" s="7"/>
      <c r="Q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P560" s="7"/>
      <c r="Q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P561" s="7"/>
      <c r="Q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P562" s="7"/>
      <c r="Q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P563" s="7"/>
      <c r="Q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P564" s="7"/>
      <c r="Q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P565" s="7"/>
      <c r="Q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P566" s="7"/>
      <c r="Q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P567" s="7"/>
      <c r="Q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P568" s="7"/>
      <c r="Q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P569" s="7"/>
      <c r="Q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P570" s="7"/>
      <c r="Q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P571" s="7"/>
      <c r="Q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P572" s="7"/>
      <c r="Q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P573" s="7"/>
      <c r="Q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P574" s="7"/>
      <c r="Q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P575" s="7"/>
      <c r="Q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P576" s="7"/>
      <c r="Q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P577" s="7"/>
      <c r="Q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P578" s="7"/>
      <c r="Q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P579" s="7"/>
      <c r="Q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P580" s="7"/>
      <c r="Q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P581" s="7"/>
      <c r="Q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P582" s="7"/>
      <c r="Q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P583" s="7"/>
      <c r="Q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P584" s="7"/>
      <c r="Q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P585" s="7"/>
      <c r="Q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P586" s="7"/>
      <c r="Q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P587" s="7"/>
      <c r="Q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P588" s="7"/>
      <c r="Q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P589" s="7"/>
      <c r="Q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P590" s="7"/>
      <c r="Q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P591" s="7"/>
      <c r="Q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P592" s="7"/>
      <c r="Q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P593" s="7"/>
      <c r="Q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P594" s="7"/>
      <c r="Q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P595" s="7"/>
      <c r="Q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P596" s="7"/>
      <c r="Q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P597" s="7"/>
      <c r="Q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P598" s="7"/>
      <c r="Q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P599" s="7"/>
      <c r="Q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P600" s="7"/>
      <c r="Q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P601" s="7"/>
      <c r="Q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P602" s="7"/>
      <c r="Q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P603" s="7"/>
      <c r="Q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P604" s="7"/>
      <c r="Q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P605" s="7"/>
      <c r="Q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P606" s="7"/>
      <c r="Q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P607" s="7"/>
      <c r="Q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P608" s="7"/>
      <c r="Q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P609" s="7"/>
      <c r="Q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P610" s="7"/>
      <c r="Q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P611" s="7"/>
      <c r="Q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P612" s="7"/>
      <c r="Q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P613" s="7"/>
      <c r="Q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P614" s="7"/>
      <c r="Q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P615" s="7"/>
      <c r="Q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P616" s="7"/>
      <c r="Q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P617" s="7"/>
      <c r="Q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P618" s="7"/>
      <c r="Q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P619" s="7"/>
      <c r="Q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P620" s="7"/>
      <c r="Q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P621" s="7"/>
      <c r="Q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P622" s="7"/>
      <c r="Q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P623" s="7"/>
      <c r="Q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P624" s="7"/>
      <c r="Q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P625" s="7"/>
      <c r="Q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P626" s="7"/>
      <c r="Q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P627" s="7"/>
      <c r="Q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P628" s="7"/>
      <c r="Q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P629" s="7"/>
      <c r="Q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P630" s="7"/>
      <c r="Q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P631" s="7"/>
      <c r="Q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P632" s="7"/>
      <c r="Q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P633" s="7"/>
      <c r="Q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P634" s="7"/>
      <c r="Q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P635" s="7"/>
      <c r="Q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P636" s="7"/>
      <c r="Q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P637" s="7"/>
      <c r="Q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P638" s="7"/>
      <c r="Q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P639" s="7"/>
      <c r="Q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P640" s="7"/>
      <c r="Q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P641" s="7"/>
      <c r="Q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P642" s="7"/>
      <c r="Q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P643" s="7"/>
      <c r="Q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P644" s="7"/>
      <c r="Q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P645" s="7"/>
      <c r="Q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P646" s="7"/>
      <c r="Q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P647" s="7"/>
      <c r="Q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P648" s="7"/>
      <c r="Q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P649" s="7"/>
      <c r="Q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P650" s="7"/>
      <c r="Q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P651" s="7"/>
      <c r="Q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P652" s="7"/>
      <c r="Q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P653" s="7"/>
      <c r="Q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P654" s="7"/>
      <c r="Q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P655" s="7"/>
      <c r="Q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P656" s="7"/>
      <c r="Q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P657" s="7"/>
      <c r="Q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P658" s="7"/>
      <c r="Q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P659" s="7"/>
      <c r="Q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P660" s="7"/>
      <c r="Q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P661" s="7"/>
      <c r="Q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P662" s="7"/>
      <c r="Q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P663" s="7"/>
      <c r="Q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P664" s="7"/>
      <c r="Q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P665" s="7"/>
      <c r="Q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P666" s="7"/>
      <c r="Q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P667" s="7"/>
      <c r="Q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P668" s="7"/>
      <c r="Q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P669" s="7"/>
      <c r="Q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P670" s="7"/>
      <c r="Q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P671" s="7"/>
      <c r="Q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P672" s="7"/>
      <c r="Q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P673" s="7"/>
      <c r="Q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P674" s="7"/>
      <c r="Q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P675" s="7"/>
      <c r="Q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P676" s="7"/>
      <c r="Q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P677" s="7"/>
      <c r="Q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P678" s="7"/>
      <c r="Q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P679" s="7"/>
      <c r="Q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P680" s="7"/>
      <c r="Q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P681" s="7"/>
      <c r="Q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P682" s="7"/>
      <c r="Q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P683" s="7"/>
      <c r="Q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P684" s="7"/>
      <c r="Q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P685" s="7"/>
      <c r="Q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P686" s="7"/>
      <c r="Q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P687" s="7"/>
      <c r="Q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P688" s="7"/>
      <c r="Q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P689" s="7"/>
      <c r="Q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P690" s="7"/>
      <c r="Q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P691" s="7"/>
      <c r="Q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P692" s="7"/>
      <c r="Q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P693" s="7"/>
      <c r="Q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P694" s="7"/>
      <c r="Q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P695" s="7"/>
      <c r="Q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P696" s="7"/>
      <c r="Q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P697" s="7"/>
      <c r="Q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P698" s="7"/>
      <c r="Q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P699" s="7"/>
      <c r="Q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P700" s="7"/>
      <c r="Q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P701" s="7"/>
      <c r="Q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P702" s="7"/>
      <c r="Q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P703" s="7"/>
      <c r="Q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P704" s="7"/>
      <c r="Q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P705" s="7"/>
      <c r="Q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P706" s="7"/>
      <c r="Q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P707" s="7"/>
      <c r="Q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P708" s="7"/>
      <c r="Q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P709" s="7"/>
      <c r="Q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P710" s="7"/>
      <c r="Q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P711" s="7"/>
      <c r="Q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P712" s="7"/>
      <c r="Q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P713" s="7"/>
      <c r="Q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P714" s="7"/>
      <c r="Q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P715" s="7"/>
      <c r="Q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P716" s="7"/>
      <c r="Q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P717" s="7"/>
      <c r="Q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P718" s="7"/>
      <c r="Q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P719" s="7"/>
      <c r="Q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P720" s="7"/>
      <c r="Q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P721" s="7"/>
      <c r="Q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P722" s="7"/>
      <c r="Q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P723" s="7"/>
      <c r="Q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P724" s="7"/>
      <c r="Q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P725" s="7"/>
      <c r="Q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P726" s="7"/>
      <c r="Q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P727" s="7"/>
      <c r="Q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P728" s="7"/>
      <c r="Q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P729" s="7"/>
      <c r="Q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P730" s="7"/>
      <c r="Q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P731" s="7"/>
      <c r="Q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P732" s="7"/>
      <c r="Q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P733" s="7"/>
      <c r="Q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P734" s="7"/>
      <c r="Q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P735" s="7"/>
      <c r="Q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P736" s="7"/>
      <c r="Q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P737" s="7"/>
      <c r="Q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P738" s="7"/>
      <c r="Q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P739" s="7"/>
      <c r="Q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P740" s="7"/>
      <c r="Q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P741" s="7"/>
      <c r="Q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P742" s="7"/>
      <c r="Q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P743" s="7"/>
      <c r="Q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P744" s="7"/>
      <c r="Q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P745" s="7"/>
      <c r="Q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P746" s="7"/>
      <c r="Q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P747" s="7"/>
      <c r="Q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P748" s="7"/>
      <c r="Q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P749" s="7"/>
      <c r="Q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P750" s="7"/>
      <c r="Q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P751" s="7"/>
      <c r="Q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P752" s="7"/>
      <c r="Q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P753" s="7"/>
      <c r="Q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P754" s="7"/>
      <c r="Q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P755" s="7"/>
      <c r="Q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P756" s="7"/>
      <c r="Q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P757" s="7"/>
      <c r="Q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P758" s="7"/>
      <c r="Q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P759" s="7"/>
      <c r="Q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P760" s="7"/>
      <c r="Q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P761" s="7"/>
      <c r="Q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P762" s="7"/>
      <c r="Q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P763" s="7"/>
      <c r="Q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P764" s="7"/>
      <c r="Q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P765" s="7"/>
      <c r="Q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P766" s="7"/>
      <c r="Q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P767" s="7"/>
      <c r="Q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P768" s="7"/>
      <c r="Q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P769" s="7"/>
      <c r="Q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P770" s="7"/>
      <c r="Q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P771" s="7"/>
      <c r="Q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P772" s="7"/>
      <c r="Q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P773" s="7"/>
      <c r="Q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P774" s="7"/>
      <c r="Q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P775" s="7"/>
      <c r="Q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P776" s="7"/>
      <c r="Q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P777" s="7"/>
      <c r="Q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P778" s="7"/>
      <c r="Q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P779" s="7"/>
      <c r="Q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P780" s="7"/>
      <c r="Q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P781" s="7"/>
      <c r="Q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P782" s="7"/>
      <c r="Q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P783" s="7"/>
      <c r="Q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P784" s="7"/>
      <c r="Q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P785" s="7"/>
      <c r="Q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P786" s="7"/>
      <c r="Q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P787" s="7"/>
      <c r="Q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P788" s="7"/>
      <c r="Q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P789" s="7"/>
      <c r="Q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P790" s="7"/>
      <c r="Q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P791" s="7"/>
      <c r="Q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P792" s="7"/>
      <c r="Q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P793" s="7"/>
      <c r="Q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P794" s="7"/>
      <c r="Q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P795" s="7"/>
      <c r="Q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P796" s="7"/>
      <c r="Q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P797" s="7"/>
      <c r="Q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P798" s="7"/>
      <c r="Q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P799" s="7"/>
      <c r="Q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P800" s="7"/>
      <c r="Q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P801" s="7"/>
      <c r="Q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P802" s="7"/>
      <c r="Q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P803" s="7"/>
      <c r="Q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P804" s="7"/>
      <c r="Q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P805" s="7"/>
      <c r="Q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P806" s="7"/>
      <c r="Q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P807" s="7"/>
      <c r="Q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P808" s="7"/>
      <c r="Q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P809" s="7"/>
      <c r="Q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P810" s="7"/>
      <c r="Q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P811" s="7"/>
      <c r="Q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P812" s="7"/>
      <c r="Q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P813" s="7"/>
      <c r="Q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P814" s="7"/>
      <c r="Q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P815" s="7"/>
      <c r="Q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P816" s="7"/>
      <c r="Q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P817" s="7"/>
      <c r="Q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P818" s="7"/>
      <c r="Q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P819" s="7"/>
      <c r="Q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P820" s="7"/>
      <c r="Q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P821" s="7"/>
      <c r="Q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P822" s="7"/>
      <c r="Q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P823" s="7"/>
      <c r="Q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P824" s="7"/>
      <c r="Q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P825" s="7"/>
      <c r="Q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P826" s="7"/>
      <c r="Q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P827" s="7"/>
      <c r="Q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P828" s="7"/>
      <c r="Q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P829" s="7"/>
      <c r="Q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P830" s="7"/>
      <c r="Q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P831" s="7"/>
      <c r="Q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P832" s="7"/>
      <c r="Q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P833" s="7"/>
      <c r="Q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P834" s="7"/>
      <c r="Q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P835" s="7"/>
      <c r="Q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P836" s="7"/>
      <c r="Q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P837" s="7"/>
      <c r="Q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P838" s="7"/>
      <c r="Q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P839" s="7"/>
      <c r="Q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P840" s="7"/>
      <c r="Q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P841" s="7"/>
      <c r="Q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P842" s="7"/>
      <c r="Q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P843" s="7"/>
      <c r="Q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P844" s="7"/>
      <c r="Q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P845" s="7"/>
      <c r="Q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P846" s="7"/>
      <c r="Q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P847" s="7"/>
      <c r="Q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P848" s="7"/>
      <c r="Q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P849" s="7"/>
      <c r="Q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P850" s="7"/>
      <c r="Q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P851" s="7"/>
      <c r="Q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P852" s="7"/>
      <c r="Q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P853" s="7"/>
      <c r="Q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P854" s="7"/>
      <c r="Q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P855" s="7"/>
      <c r="Q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P856" s="7"/>
      <c r="Q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P857" s="7"/>
      <c r="Q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P858" s="7"/>
      <c r="Q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P859" s="7"/>
      <c r="Q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P860" s="7"/>
      <c r="Q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P861" s="7"/>
      <c r="Q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P862" s="7"/>
      <c r="Q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P863" s="7"/>
      <c r="Q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P864" s="7"/>
      <c r="Q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P865" s="7"/>
      <c r="Q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P866" s="7"/>
      <c r="Q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P867" s="7"/>
      <c r="Q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P868" s="7"/>
      <c r="Q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P869" s="7"/>
      <c r="Q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P870" s="7"/>
      <c r="Q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P871" s="7"/>
      <c r="Q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P872" s="7"/>
      <c r="Q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P873" s="7"/>
      <c r="Q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P874" s="7"/>
      <c r="Q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P875" s="7"/>
      <c r="Q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P876" s="7"/>
      <c r="Q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P877" s="7"/>
      <c r="Q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P878" s="7"/>
      <c r="Q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P879" s="7"/>
      <c r="Q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P880" s="7"/>
      <c r="Q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P881" s="7"/>
      <c r="Q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P882" s="7"/>
      <c r="Q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P883" s="7"/>
      <c r="Q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P884" s="7"/>
      <c r="Q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P885" s="7"/>
      <c r="Q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P886" s="7"/>
      <c r="Q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P887" s="7"/>
      <c r="Q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P888" s="7"/>
      <c r="Q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P889" s="7"/>
      <c r="Q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P890" s="7"/>
      <c r="Q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P891" s="7"/>
      <c r="Q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P892" s="7"/>
      <c r="Q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P893" s="7"/>
      <c r="Q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P894" s="7"/>
      <c r="Q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P895" s="7"/>
      <c r="Q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P896" s="7"/>
      <c r="Q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P897" s="7"/>
      <c r="Q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P898" s="7"/>
      <c r="Q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P899" s="7"/>
      <c r="Q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P900" s="7"/>
      <c r="Q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P901" s="7"/>
      <c r="Q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P902" s="7"/>
      <c r="Q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P903" s="7"/>
      <c r="Q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P904" s="7"/>
      <c r="Q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P905" s="7"/>
      <c r="Q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P906" s="7"/>
      <c r="Q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P907" s="7"/>
      <c r="Q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P908" s="7"/>
      <c r="Q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P909" s="7"/>
      <c r="Q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P910" s="7"/>
      <c r="Q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P911" s="7"/>
      <c r="Q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P912" s="7"/>
      <c r="Q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P913" s="7"/>
      <c r="Q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P914" s="7"/>
      <c r="Q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P915" s="7"/>
      <c r="Q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P916" s="7"/>
      <c r="Q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P917" s="7"/>
      <c r="Q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P918" s="7"/>
      <c r="Q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P919" s="7"/>
      <c r="Q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P920" s="7"/>
      <c r="Q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P921" s="7"/>
      <c r="Q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P922" s="7"/>
      <c r="Q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P923" s="7"/>
      <c r="Q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P924" s="7"/>
      <c r="Q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P925" s="7"/>
      <c r="Q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P926" s="7"/>
      <c r="Q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P927" s="7"/>
      <c r="Q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P928" s="7"/>
      <c r="Q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P929" s="7"/>
      <c r="Q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P930" s="7"/>
      <c r="Q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P931" s="7"/>
      <c r="Q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P932" s="7"/>
      <c r="Q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P933" s="7"/>
      <c r="Q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P934" s="7"/>
      <c r="Q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P935" s="7"/>
      <c r="Q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P936" s="7"/>
      <c r="Q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P937" s="7"/>
      <c r="Q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P938" s="7"/>
      <c r="Q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P939" s="7"/>
      <c r="Q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P940" s="7"/>
      <c r="Q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P941" s="7"/>
      <c r="Q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P942" s="7"/>
      <c r="Q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P943" s="7"/>
      <c r="Q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P944" s="7"/>
      <c r="Q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P945" s="7"/>
      <c r="Q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P946" s="7"/>
      <c r="Q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P947" s="7"/>
      <c r="Q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P948" s="7"/>
      <c r="Q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P949" s="7"/>
      <c r="Q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P950" s="7"/>
      <c r="Q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P951" s="7"/>
      <c r="Q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P952" s="7"/>
      <c r="Q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P953" s="7"/>
      <c r="Q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P954" s="7"/>
      <c r="Q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P955" s="7"/>
      <c r="Q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P956" s="7"/>
      <c r="Q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P957" s="7"/>
      <c r="Q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P958" s="7"/>
      <c r="Q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P959" s="7"/>
      <c r="Q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P960" s="7"/>
      <c r="Q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P961" s="7"/>
      <c r="Q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P962" s="7"/>
      <c r="Q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P963" s="7"/>
      <c r="Q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P964" s="7"/>
      <c r="Q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P965" s="7"/>
      <c r="Q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P966" s="7"/>
      <c r="Q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P967" s="7"/>
      <c r="Q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P968" s="7"/>
      <c r="Q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P969" s="7"/>
      <c r="Q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P970" s="7"/>
      <c r="Q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P971" s="7"/>
      <c r="Q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P972" s="7"/>
      <c r="Q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P973" s="7"/>
      <c r="Q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P974" s="7"/>
      <c r="Q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P975" s="7"/>
      <c r="Q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P976" s="7"/>
      <c r="Q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P977" s="7"/>
      <c r="Q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P978" s="7"/>
      <c r="Q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P979" s="7"/>
      <c r="Q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P980" s="7"/>
      <c r="Q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P981" s="7"/>
      <c r="Q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P982" s="7"/>
      <c r="Q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P983" s="7"/>
      <c r="Q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P984" s="7"/>
      <c r="Q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P985" s="7"/>
      <c r="Q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P986" s="7"/>
      <c r="Q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P987" s="7"/>
      <c r="Q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P988" s="7"/>
      <c r="Q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P989" s="7"/>
      <c r="Q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P990" s="7"/>
      <c r="Q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P991" s="7"/>
      <c r="Q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P992" s="7"/>
      <c r="Q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P993" s="7"/>
      <c r="Q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P994" s="7"/>
      <c r="Q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P995" s="7"/>
      <c r="Q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P996" s="7"/>
      <c r="Q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P997" s="7"/>
      <c r="Q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P998" s="7"/>
      <c r="Q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P999" s="7"/>
      <c r="Q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P1000" s="7"/>
      <c r="Q1000" s="7"/>
    </row>
  </sheetData>
  <mergeCells count="2">
    <mergeCell ref="A1:N1"/>
    <mergeCell ref="A2:N2"/>
  </mergeCells>
  <conditionalFormatting sqref="J5:J14">
    <cfRule type="cellIs" dxfId="5" priority="1" operator="equal">
      <formula>"Y"</formula>
    </cfRule>
  </conditionalFormatting>
  <conditionalFormatting sqref="J5:J14">
    <cfRule type="cellIs" dxfId="6" priority="2" operator="equal">
      <formula>"N"</formula>
    </cfRule>
  </conditionalFormatting>
  <conditionalFormatting sqref="J5:J14">
    <cfRule type="cellIs" dxfId="7" priority="3" operator="equal">
      <formula>"Partial"</formula>
    </cfRule>
  </conditionalFormatting>
  <conditionalFormatting sqref="I5:I14">
    <cfRule type="expression" dxfId="8" priority="4">
      <formula>$I5="Critical"</formula>
    </cfRule>
  </conditionalFormatting>
  <conditionalFormatting sqref="I5:I14">
    <cfRule type="expression" dxfId="9" priority="5">
      <formula>$I5="High"</formula>
    </cfRule>
  </conditionalFormatting>
  <conditionalFormatting sqref="I5:I14">
    <cfRule type="expression" dxfId="10" priority="6">
      <formula>$I5="Medium"</formula>
    </cfRule>
  </conditionalFormatting>
  <conditionalFormatting sqref="I5:I14">
    <cfRule type="expression" dxfId="11" priority="7">
      <formula>$I5="Low"</formula>
    </cfRule>
  </conditionalFormatting>
  <dataValidations>
    <dataValidation type="list" allowBlank="1" sqref="I5:I14">
      <formula1>"Critical,High,Medium,Low"</formula1>
    </dataValidation>
    <dataValidation type="custom" allowBlank="1" showDropDown="1" sqref="A5:A14">
      <formula1>AND(ISNUMBER(A5),(NOT(OR(NOT(ISERROR(DATEVALUE(A5))), AND(ISNUMBER(A5), LEFT(CELL("format", A5))="D")))))</formula1>
    </dataValidation>
    <dataValidation type="list" allowBlank="1" sqref="J5:J14">
      <formula1>"Y,N,Partial"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8" width="16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31.5" customHeight="1">
      <c r="A5" s="4" t="s">
        <v>11</v>
      </c>
      <c r="B5" s="5" t="s">
        <v>14</v>
      </c>
      <c r="C5" s="6"/>
      <c r="D5" s="6"/>
      <c r="E5" s="6"/>
      <c r="F5" s="6"/>
      <c r="G5" s="6"/>
      <c r="H5" s="6"/>
    </row>
    <row r="6" ht="31.5" customHeight="1">
      <c r="A6" s="4" t="s">
        <v>15</v>
      </c>
      <c r="B6" s="6"/>
      <c r="C6" s="8" t="s">
        <v>16</v>
      </c>
      <c r="D6" s="6"/>
      <c r="E6" s="6"/>
      <c r="F6" s="6"/>
      <c r="G6" s="6"/>
      <c r="H6" s="6"/>
    </row>
    <row r="7" ht="31.5" customHeight="1">
      <c r="A7" s="4" t="s">
        <v>18</v>
      </c>
      <c r="B7" s="6"/>
      <c r="C7" s="6"/>
      <c r="D7" s="9" t="s">
        <v>21</v>
      </c>
      <c r="E7" s="6"/>
      <c r="F7" s="6"/>
      <c r="G7" s="6"/>
      <c r="H7" s="6"/>
    </row>
    <row r="8" ht="31.5" customHeight="1">
      <c r="A8" s="4" t="s">
        <v>25</v>
      </c>
      <c r="B8" s="6"/>
      <c r="C8" s="6"/>
      <c r="D8" s="6"/>
      <c r="E8" s="9" t="s">
        <v>21</v>
      </c>
      <c r="F8" s="6"/>
      <c r="G8" s="6"/>
      <c r="H8" s="6"/>
    </row>
    <row r="9" ht="31.5" customHeight="1">
      <c r="A9" s="4" t="s">
        <v>26</v>
      </c>
      <c r="B9" s="6"/>
      <c r="C9" s="6"/>
      <c r="D9" s="6"/>
      <c r="E9" s="6"/>
      <c r="F9" s="9" t="s">
        <v>21</v>
      </c>
      <c r="G9" s="6"/>
      <c r="H9" s="6"/>
    </row>
    <row r="10" ht="31.5" customHeight="1">
      <c r="A10" s="4" t="s">
        <v>28</v>
      </c>
      <c r="B10" s="6"/>
      <c r="C10" s="6"/>
      <c r="D10" s="6"/>
      <c r="E10" s="6"/>
      <c r="F10" s="6"/>
      <c r="G10" s="9" t="s">
        <v>21</v>
      </c>
      <c r="H10" s="6"/>
    </row>
    <row r="11" ht="31.5" customHeight="1">
      <c r="A11" s="4" t="s">
        <v>31</v>
      </c>
      <c r="B11" s="6"/>
      <c r="C11" s="6"/>
      <c r="D11" s="6"/>
      <c r="E11" s="6"/>
      <c r="F11" s="6"/>
      <c r="G11" s="6"/>
      <c r="H11" s="8" t="s">
        <v>16</v>
      </c>
    </row>
    <row r="14">
      <c r="A14" s="12" t="s">
        <v>36</v>
      </c>
    </row>
    <row r="15" ht="15.0" customHeight="1">
      <c r="A15" s="14" t="s">
        <v>14</v>
      </c>
      <c r="B15" s="15" t="s">
        <v>42</v>
      </c>
    </row>
    <row r="16" ht="15.0" customHeight="1">
      <c r="A16" s="17" t="s">
        <v>21</v>
      </c>
      <c r="B16" s="15" t="s">
        <v>49</v>
      </c>
    </row>
    <row r="17" ht="15.0" customHeight="1">
      <c r="A17" s="19" t="s">
        <v>52</v>
      </c>
      <c r="B17" s="1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B15:G15"/>
    <mergeCell ref="B16:G16"/>
    <mergeCell ref="B17:G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9.0"/>
    <col customWidth="1" min="3" max="3" width="20.0"/>
    <col customWidth="1" min="4" max="4" width="16.0"/>
    <col customWidth="1" min="5" max="5" width="36.0"/>
    <col customWidth="1" min="6" max="26" width="8.71"/>
  </cols>
  <sheetData>
    <row r="1" ht="19.5" customHeight="1">
      <c r="A1" s="1" t="s">
        <v>13</v>
      </c>
    </row>
    <row r="2">
      <c r="A2" s="7"/>
      <c r="B2" s="7"/>
      <c r="C2" s="7"/>
      <c r="D2" s="7"/>
      <c r="E2" s="7"/>
    </row>
    <row r="3" ht="15.0" customHeight="1">
      <c r="A3" s="10" t="s">
        <v>17</v>
      </c>
      <c r="B3" s="10" t="s">
        <v>29</v>
      </c>
      <c r="C3" s="10" t="s">
        <v>32</v>
      </c>
      <c r="D3" s="10" t="s">
        <v>34</v>
      </c>
      <c r="E3" s="10" t="s">
        <v>38</v>
      </c>
    </row>
    <row r="4" ht="38.25" customHeight="1">
      <c r="A4" s="16" t="s">
        <v>40</v>
      </c>
      <c r="B4" s="18" t="s">
        <v>46</v>
      </c>
      <c r="C4" s="16" t="s">
        <v>27</v>
      </c>
      <c r="D4" s="21">
        <v>46217.0</v>
      </c>
      <c r="E4" s="18" t="s">
        <v>59</v>
      </c>
    </row>
    <row r="5" ht="24.0" customHeight="1">
      <c r="A5" s="18" t="s">
        <v>40</v>
      </c>
      <c r="B5" s="18" t="s">
        <v>64</v>
      </c>
      <c r="C5" s="18" t="s">
        <v>67</v>
      </c>
      <c r="D5" s="21">
        <v>46217.0</v>
      </c>
      <c r="E5" s="18" t="s">
        <v>75</v>
      </c>
    </row>
    <row r="6" ht="15.0" customHeight="1">
      <c r="A6" s="16" t="s">
        <v>76</v>
      </c>
      <c r="B6" s="16" t="s">
        <v>77</v>
      </c>
      <c r="C6" s="16" t="s">
        <v>27</v>
      </c>
      <c r="D6" s="21">
        <v>46217.0</v>
      </c>
      <c r="E6" s="16" t="s">
        <v>78</v>
      </c>
    </row>
    <row r="7" ht="15.0" customHeight="1">
      <c r="A7" s="16" t="s">
        <v>79</v>
      </c>
      <c r="B7" s="16"/>
      <c r="C7" s="16" t="s">
        <v>27</v>
      </c>
      <c r="D7" s="21">
        <v>46217.0</v>
      </c>
      <c r="E7" s="16" t="s">
        <v>80</v>
      </c>
    </row>
    <row r="8" ht="23.25" customHeight="1">
      <c r="A8" s="16" t="s">
        <v>81</v>
      </c>
      <c r="B8" s="16" t="s">
        <v>82</v>
      </c>
      <c r="C8" s="16" t="s">
        <v>53</v>
      </c>
      <c r="D8" s="21">
        <v>46217.0</v>
      </c>
      <c r="E8" s="18" t="s">
        <v>83</v>
      </c>
    </row>
    <row r="9" ht="15.0" customHeight="1">
      <c r="A9" s="16" t="s">
        <v>76</v>
      </c>
      <c r="B9" s="16" t="s">
        <v>84</v>
      </c>
      <c r="C9" s="16" t="s">
        <v>53</v>
      </c>
      <c r="D9" s="21">
        <v>46219.0</v>
      </c>
      <c r="E9" s="16" t="s">
        <v>85</v>
      </c>
    </row>
    <row r="10" ht="45.75" customHeight="1">
      <c r="A10" s="18" t="s">
        <v>81</v>
      </c>
      <c r="B10" s="18" t="s">
        <v>86</v>
      </c>
      <c r="C10" s="18" t="s">
        <v>60</v>
      </c>
      <c r="D10" s="21">
        <v>46219.0</v>
      </c>
      <c r="E10" s="18" t="s">
        <v>87</v>
      </c>
    </row>
    <row r="11" ht="15.0" customHeight="1">
      <c r="A11" s="16" t="s">
        <v>88</v>
      </c>
      <c r="B11" s="16" t="s">
        <v>89</v>
      </c>
      <c r="C11" s="16" t="s">
        <v>66</v>
      </c>
      <c r="D11" s="21">
        <v>46219.0</v>
      </c>
      <c r="E11" s="16" t="s">
        <v>90</v>
      </c>
    </row>
    <row r="12" ht="15.0" customHeight="1">
      <c r="A12" s="16" t="s">
        <v>76</v>
      </c>
      <c r="B12" s="16" t="s">
        <v>91</v>
      </c>
      <c r="C12" s="16" t="s">
        <v>71</v>
      </c>
      <c r="D12" s="21">
        <v>46220.0</v>
      </c>
      <c r="E12" s="16" t="s">
        <v>92</v>
      </c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  <row r="1001" ht="15.75" customHeight="1">
      <c r="A1001" s="7"/>
      <c r="B1001" s="7"/>
      <c r="C1001" s="7"/>
      <c r="D1001" s="7"/>
      <c r="E1001" s="7"/>
    </row>
    <row r="1002" ht="15.75" customHeight="1">
      <c r="A1002" s="7"/>
      <c r="B1002" s="7"/>
      <c r="C1002" s="7"/>
      <c r="D1002" s="7"/>
      <c r="E1002" s="7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46.14"/>
    <col customWidth="1" min="3" max="4" width="40.0"/>
    <col customWidth="1" min="5" max="26" width="8.71"/>
  </cols>
  <sheetData>
    <row r="1" ht="19.5" customHeight="1">
      <c r="A1" s="1" t="s">
        <v>5</v>
      </c>
    </row>
    <row r="2" ht="15.0" customHeight="1">
      <c r="A2" s="2" t="s">
        <v>12</v>
      </c>
    </row>
    <row r="3">
      <c r="A3" s="7"/>
      <c r="B3" s="7"/>
      <c r="C3" s="7"/>
      <c r="D3" s="7"/>
    </row>
    <row r="4" ht="15.0" customHeight="1">
      <c r="A4" s="3" t="s">
        <v>20</v>
      </c>
      <c r="B4" s="3" t="s">
        <v>22</v>
      </c>
      <c r="C4" s="3" t="s">
        <v>23</v>
      </c>
      <c r="D4" s="3" t="s">
        <v>24</v>
      </c>
    </row>
    <row r="5" ht="60.0" customHeight="1">
      <c r="A5" s="11" t="s">
        <v>27</v>
      </c>
      <c r="B5" s="11" t="s">
        <v>33</v>
      </c>
      <c r="C5" s="11" t="s">
        <v>35</v>
      </c>
      <c r="D5" s="11" t="s">
        <v>37</v>
      </c>
    </row>
    <row r="6" ht="84.75" customHeight="1">
      <c r="A6" s="13" t="s">
        <v>39</v>
      </c>
      <c r="B6" s="13" t="s">
        <v>41</v>
      </c>
      <c r="C6" s="13" t="s">
        <v>44</v>
      </c>
      <c r="D6" s="13" t="s">
        <v>45</v>
      </c>
    </row>
    <row r="7" ht="79.5" customHeight="1">
      <c r="A7" s="13" t="s">
        <v>47</v>
      </c>
      <c r="B7" s="13" t="s">
        <v>48</v>
      </c>
      <c r="C7" s="13" t="s">
        <v>50</v>
      </c>
      <c r="D7" s="13" t="s">
        <v>51</v>
      </c>
    </row>
    <row r="8" ht="103.5" customHeight="1">
      <c r="A8" s="20" t="s">
        <v>53</v>
      </c>
      <c r="B8" s="13" t="s">
        <v>55</v>
      </c>
      <c r="C8" s="13" t="s">
        <v>57</v>
      </c>
      <c r="D8" s="13" t="s">
        <v>58</v>
      </c>
    </row>
    <row r="9" ht="93.75" customHeight="1">
      <c r="A9" s="13" t="s">
        <v>60</v>
      </c>
      <c r="B9" s="22" t="s">
        <v>61</v>
      </c>
      <c r="C9" s="13" t="s">
        <v>63</v>
      </c>
      <c r="D9" s="13" t="s">
        <v>65</v>
      </c>
    </row>
    <row r="10" ht="39.75" customHeight="1">
      <c r="A10" s="13" t="s">
        <v>66</v>
      </c>
      <c r="B10" s="13" t="s">
        <v>68</v>
      </c>
      <c r="C10" s="13" t="s">
        <v>69</v>
      </c>
      <c r="D10" s="13" t="s">
        <v>70</v>
      </c>
    </row>
    <row r="11" ht="138.0" customHeight="1">
      <c r="A11" s="13" t="s">
        <v>71</v>
      </c>
      <c r="B11" s="13" t="s">
        <v>72</v>
      </c>
      <c r="C11" s="13" t="s">
        <v>73</v>
      </c>
      <c r="D11" s="13" t="s">
        <v>74</v>
      </c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